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tr2669\Desktop\DS775\mid-term\"/>
    </mc:Choice>
  </mc:AlternateContent>
  <bookViews>
    <workbookView xWindow="0" yWindow="0" windowWidth="12585" windowHeight="10290" tabRatio="759"/>
  </bookViews>
  <sheets>
    <sheet name="p1" sheetId="63" r:id="rId1"/>
    <sheet name="p2" sheetId="64" r:id="rId2"/>
    <sheet name="p4" sheetId="65" r:id="rId3"/>
    <sheet name="p5" sheetId="66" r:id="rId4"/>
    <sheet name="p6" sheetId="70" r:id="rId5"/>
    <sheet name="p7" sheetId="71" r:id="rId6"/>
  </sheets>
  <definedNames>
    <definedName name="coefficientsObj">#REF!</definedName>
    <definedName name="CoefObj476">#REF!</definedName>
    <definedName name="CoefObj734a">#REF!</definedName>
    <definedName name="CoefObj735a">#REF!</definedName>
    <definedName name="CoefObj736a">#REF!</definedName>
    <definedName name="CoefObj736b">#REF!</definedName>
    <definedName name="CoefObj736c">#REF!</definedName>
    <definedName name="CoefObj736d">#REF!</definedName>
    <definedName name="CoefObj736e">#REF!</definedName>
    <definedName name="CoefObj738c">#REF!</definedName>
    <definedName name="CoefObj738cII">#REF!</definedName>
    <definedName name="CoefObj738d">#REF!</definedName>
    <definedName name="CoefObj738gI">#REF!</definedName>
    <definedName name="CoefObj751">#REF!</definedName>
    <definedName name="CoefObj754">#REF!</definedName>
    <definedName name="CoefObj754b">#REF!</definedName>
    <definedName name="CoefObj761">#REF!</definedName>
    <definedName name="CoefObjPartA">#REF!</definedName>
    <definedName name="CoefObjPartB">#REF!</definedName>
    <definedName name="CoefObjUA">#REF!</definedName>
    <definedName name="Csubi">#REF!</definedName>
    <definedName name="Csubi476">#REF!</definedName>
    <definedName name="Csubi734a">#REF!</definedName>
    <definedName name="Csubi751">#REF!</definedName>
    <definedName name="Csubi754">#REF!</definedName>
    <definedName name="Csubi754b">#REF!</definedName>
    <definedName name="Csubi761">#REF!</definedName>
    <definedName name="CsubiPartA">#REF!</definedName>
    <definedName name="CsubiPartB">#REF!</definedName>
    <definedName name="Csubj751">#REF!</definedName>
    <definedName name="MaxHrDavid">#REF!</definedName>
    <definedName name="MaxHrLaDeana">#REF!</definedName>
    <definedName name="MaxHrLydia">#REF!</definedName>
    <definedName name="MaxHrsDavid">#REF!</definedName>
    <definedName name="MaxHrsLaDeana">#REF!</definedName>
    <definedName name="MaxHrsLydia">#REF!</definedName>
    <definedName name="ProfitGrandfClock">#REF!</definedName>
    <definedName name="ProfitPerGrandfClock">#REF!</definedName>
    <definedName name="ProfitPerUnitOfSubassem">#REF!</definedName>
    <definedName name="ProfitPerUnitOfToys">#REF!</definedName>
    <definedName name="ProfitPerWallClock">#REF!</definedName>
    <definedName name="ProfitWallClock">#REF!</definedName>
    <definedName name="Shift1Cost">#REF!</definedName>
    <definedName name="Shift1Workers">#REF!</definedName>
    <definedName name="Shift2Cost">#REF!</definedName>
    <definedName name="Shift2Workers">#REF!</definedName>
    <definedName name="Shift3Cost">#REF!</definedName>
    <definedName name="Shift3Workers">#REF!</definedName>
    <definedName name="Shift4Cost">#REF!</definedName>
    <definedName name="Shift4Workers">#REF!</definedName>
    <definedName name="Shift5Cost">#REF!</definedName>
    <definedName name="Shift5Workers">#REF!</definedName>
    <definedName name="solver_adj" localSheetId="0" hidden="1">'p1'!$H$4:$H$8</definedName>
    <definedName name="solver_adj" localSheetId="1" hidden="1">'p2'!$G$8</definedName>
    <definedName name="solver_adj" localSheetId="2" hidden="1">'p4'!$D$13:$E$13</definedName>
    <definedName name="solver_adj" localSheetId="3" hidden="1">'p5'!$J$3:$K$3</definedName>
    <definedName name="solver_adj" localSheetId="5" hidden="1">'p7'!$D$16:$K$16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5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5" hidden="1">2</definedName>
    <definedName name="solver_eng" localSheetId="0" hidden="1">1</definedName>
    <definedName name="solver_eng" localSheetId="1" hidden="1">2</definedName>
    <definedName name="solver_eng" localSheetId="2" hidden="1">1</definedName>
    <definedName name="solver_eng" localSheetId="3" hidden="1">2</definedName>
    <definedName name="solver_eng" localSheetId="5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5" hidden="1">2147483647</definedName>
    <definedName name="solver_lhs1" localSheetId="0" hidden="1">'p1'!$C$10</definedName>
    <definedName name="solver_lhs1" localSheetId="1" hidden="1">'p2'!$F$12</definedName>
    <definedName name="solver_lhs1" localSheetId="2" hidden="1">'p4'!$C$15</definedName>
    <definedName name="solver_lhs1" localSheetId="3" hidden="1">'p5'!$J$10</definedName>
    <definedName name="solver_lhs1" localSheetId="5" hidden="1">'p7'!$C$18</definedName>
    <definedName name="solver_lhs2" localSheetId="0" hidden="1">'p1'!$C$12</definedName>
    <definedName name="solver_lhs2" localSheetId="1" hidden="1">'p2'!$F$13</definedName>
    <definedName name="solver_lhs2" localSheetId="2" hidden="1">'p4'!$C$16</definedName>
    <definedName name="solver_lhs2" localSheetId="3" hidden="1">'p5'!$J$3:$K$3</definedName>
    <definedName name="solver_lhs2" localSheetId="5" hidden="1">'p7'!$C$19</definedName>
    <definedName name="solver_lhs3" localSheetId="0" hidden="1">'p1'!$D$9</definedName>
    <definedName name="solver_lhs3" localSheetId="1" hidden="1">'p2'!$F$8:$G$8</definedName>
    <definedName name="solver_lhs3" localSheetId="2" hidden="1">'p4'!$D$13:$E$13</definedName>
    <definedName name="solver_lhs3" localSheetId="3" hidden="1">'p5'!$J$8</definedName>
    <definedName name="solver_lhs3" localSheetId="5" hidden="1">'p7'!$C$20</definedName>
    <definedName name="solver_lhs4" localSheetId="0" hidden="1">'p1'!$D$9</definedName>
    <definedName name="solver_lhs4" localSheetId="1" hidden="1">'p2'!$G$8</definedName>
    <definedName name="solver_lhs4" localSheetId="3" hidden="1">'p5'!$J$9</definedName>
    <definedName name="solver_lhs4" localSheetId="5" hidden="1">'p7'!$D$16:$K$16</definedName>
    <definedName name="solver_lhs5" localSheetId="0" hidden="1">'p1'!$E$9</definedName>
    <definedName name="solver_lhs5" localSheetId="5" hidden="1">'p7'!$D$16:$K$16</definedName>
    <definedName name="solver_lhs6" localSheetId="0" hidden="1">'p1'!$F$9</definedName>
    <definedName name="solver_lhs6" localSheetId="5" hidden="1">'p7'!$D$16:$K$16</definedName>
    <definedName name="solver_lhs7" localSheetId="0" hidden="1">'p1'!$H$4:$H$8</definedName>
    <definedName name="solver_lhs7" localSheetId="5" hidden="1">'p7'!$M$8:$M$11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5" hidden="1">2147483647</definedName>
    <definedName name="solver_ntri" hidden="1">1000</definedName>
    <definedName name="solver_num" localSheetId="0" hidden="1">7</definedName>
    <definedName name="solver_num" localSheetId="1" hidden="1">4</definedName>
    <definedName name="solver_num" localSheetId="2" hidden="1">3</definedName>
    <definedName name="solver_num" localSheetId="3" hidden="1">4</definedName>
    <definedName name="solver_num" localSheetId="5" hidden="1">7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5" hidden="1">1</definedName>
    <definedName name="solver_opt" localSheetId="0" hidden="1">'p1'!$G$9</definedName>
    <definedName name="solver_opt" localSheetId="1" hidden="1">'p2'!$K$16</definedName>
    <definedName name="solver_opt" localSheetId="2" hidden="1">'p4'!$C$18</definedName>
    <definedName name="solver_opt" localSheetId="3" hidden="1">'p5'!$J$6</definedName>
    <definedName name="solver_opt" localSheetId="5" hidden="1">'p7'!$L$15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5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5" hidden="1">2</definedName>
    <definedName name="solver_rel1" localSheetId="0" hidden="1">1</definedName>
    <definedName name="solver_rel1" localSheetId="1" hidden="1">1</definedName>
    <definedName name="solver_rel1" localSheetId="2" hidden="1">3</definedName>
    <definedName name="solver_rel1" localSheetId="3" hidden="1">1</definedName>
    <definedName name="solver_rel1" localSheetId="5" hidden="1">3</definedName>
    <definedName name="solver_rel2" localSheetId="0" hidden="1">3</definedName>
    <definedName name="solver_rel2" localSheetId="1" hidden="1">1</definedName>
    <definedName name="solver_rel2" localSheetId="2" hidden="1">1</definedName>
    <definedName name="solver_rel2" localSheetId="3" hidden="1">3</definedName>
    <definedName name="solver_rel2" localSheetId="5" hidden="1">1</definedName>
    <definedName name="solver_rel3" localSheetId="0" hidden="1">1</definedName>
    <definedName name="solver_rel3" localSheetId="1" hidden="1">3</definedName>
    <definedName name="solver_rel3" localSheetId="2" hidden="1">3</definedName>
    <definedName name="solver_rel3" localSheetId="3" hidden="1">1</definedName>
    <definedName name="solver_rel3" localSheetId="5" hidden="1">3</definedName>
    <definedName name="solver_rel4" localSheetId="0" hidden="1">3</definedName>
    <definedName name="solver_rel4" localSheetId="1" hidden="1">3</definedName>
    <definedName name="solver_rel4" localSheetId="3" hidden="1">3</definedName>
    <definedName name="solver_rel4" localSheetId="5" hidden="1">1</definedName>
    <definedName name="solver_rel5" localSheetId="0" hidden="1">3</definedName>
    <definedName name="solver_rel5" localSheetId="5" hidden="1">4</definedName>
    <definedName name="solver_rel6" localSheetId="0" hidden="1">2</definedName>
    <definedName name="solver_rel6" localSheetId="5" hidden="1">3</definedName>
    <definedName name="solver_rel7" localSheetId="0" hidden="1">3</definedName>
    <definedName name="solver_rel7" localSheetId="5" hidden="1">1</definedName>
    <definedName name="solver_rhs1" localSheetId="0" hidden="1">0.2</definedName>
    <definedName name="solver_rhs1" localSheetId="1" hidden="1">'p2'!$K$12</definedName>
    <definedName name="solver_rhs1" localSheetId="2" hidden="1">'p4'!$E$15</definedName>
    <definedName name="solver_rhs1" localSheetId="3" hidden="1">'p5'!$L$10</definedName>
    <definedName name="solver_rhs1" localSheetId="5" hidden="1">'p7'!$E$18</definedName>
    <definedName name="solver_rhs2" localSheetId="0" hidden="1">2</definedName>
    <definedName name="solver_rhs2" localSheetId="1" hidden="1">'p2'!$K$13</definedName>
    <definedName name="solver_rhs2" localSheetId="2" hidden="1">'p4'!$E$16</definedName>
    <definedName name="solver_rhs2" localSheetId="3" hidden="1">0</definedName>
    <definedName name="solver_rhs2" localSheetId="5" hidden="1">'p7'!$E$19</definedName>
    <definedName name="solver_rhs3" localSheetId="0" hidden="1">420</definedName>
    <definedName name="solver_rhs3" localSheetId="1" hidden="1">0</definedName>
    <definedName name="solver_rhs3" localSheetId="2" hidden="1">0</definedName>
    <definedName name="solver_rhs3" localSheetId="3" hidden="1">'p5'!$L$8</definedName>
    <definedName name="solver_rhs3" localSheetId="5" hidden="1">0</definedName>
    <definedName name="solver_rhs4" localSheetId="0" hidden="1">380</definedName>
    <definedName name="solver_rhs4" localSheetId="1" hidden="1">0</definedName>
    <definedName name="solver_rhs4" localSheetId="3" hidden="1">'p5'!$L$9</definedName>
    <definedName name="solver_rhs4" localSheetId="5" hidden="1">1</definedName>
    <definedName name="solver_rhs5" localSheetId="0" hidden="1">50</definedName>
    <definedName name="solver_rhs5" localSheetId="5" hidden="1">integer</definedName>
    <definedName name="solver_rhs6" localSheetId="0" hidden="1">15</definedName>
    <definedName name="solver_rhs6" localSheetId="5" hidden="1">0</definedName>
    <definedName name="solver_rhs7" localSheetId="0" hidden="1">0</definedName>
    <definedName name="solver_rhs7" localSheetId="5" hidden="1">'p7'!$L$8:$L$11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5" hidden="1">0</definedName>
    <definedName name="solver_rsmp" hidden="1">2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5" hidden="1">2</definedName>
    <definedName name="solver_seed" hidden="1">0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5" hidden="1">0.01</definedName>
    <definedName name="solver_typ" localSheetId="0" hidden="1">2</definedName>
    <definedName name="solver_typ" localSheetId="1" hidden="1">1</definedName>
    <definedName name="solver_typ" localSheetId="2" hidden="1">2</definedName>
    <definedName name="solver_typ" localSheetId="3" hidden="1">1</definedName>
    <definedName name="solver_typ" localSheetId="5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5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5" hidden="1">3</definedName>
    <definedName name="SubassemProduced734">#REF!</definedName>
    <definedName name="TotalZ">#REF!</definedName>
    <definedName name="TotalZ476">#REF!</definedName>
    <definedName name="TotalZ734a">#REF!</definedName>
    <definedName name="TotalZ735a">#REF!</definedName>
    <definedName name="TotalZ736a">#REF!</definedName>
    <definedName name="TotalZ736b">#REF!</definedName>
    <definedName name="TotalZ736c">#REF!</definedName>
    <definedName name="TotalZ736d">#REF!</definedName>
    <definedName name="TotalZ736e">#REF!</definedName>
    <definedName name="TotalZ738cI">#REF!</definedName>
    <definedName name="TotalZ738cII">#REF!</definedName>
    <definedName name="TotalZ738d">#REF!</definedName>
    <definedName name="TotalZ738gI">#REF!</definedName>
    <definedName name="TotalZ751">#REF!</definedName>
    <definedName name="TotalZ754">#REF!</definedName>
    <definedName name="TotalZ754b">#REF!</definedName>
    <definedName name="TotalZ761">#REF!</definedName>
    <definedName name="TotalZPartA">#REF!</definedName>
    <definedName name="TotalZPartB">#REF!</definedName>
    <definedName name="TotalZUA">#REF!</definedName>
    <definedName name="ToysProduced734">#REF!</definedName>
    <definedName name="UnitOfGrandfClock">#REF!</definedName>
    <definedName name="UnitOfWallClock">#REF!</definedName>
    <definedName name="UnitsOfGrandfClock">#REF!</definedName>
    <definedName name="UnitsOfWallClock">#REF!</definedName>
    <definedName name="Xsubi735a">#REF!</definedName>
    <definedName name="Xsubi736a">#REF!</definedName>
    <definedName name="Xsubi736b">#REF!</definedName>
    <definedName name="Xsubi736c">#REF!</definedName>
    <definedName name="Xsubi736d">#REF!</definedName>
    <definedName name="Xsubi736e">#REF!</definedName>
    <definedName name="Xsubi738c">#REF!</definedName>
    <definedName name="Xsubi738cII">#REF!</definedName>
    <definedName name="Xsubi738d">#REF!</definedName>
    <definedName name="Xsubi738gI">#REF!</definedName>
    <definedName name="XsubiUA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71" l="1"/>
  <c r="C20" i="71"/>
  <c r="C19" i="71"/>
  <c r="M11" i="71"/>
  <c r="M10" i="71"/>
  <c r="M9" i="71"/>
  <c r="M8" i="71"/>
  <c r="C18" i="71"/>
  <c r="J10" i="66"/>
  <c r="J9" i="66"/>
  <c r="J8" i="66"/>
  <c r="J6" i="66"/>
  <c r="C23" i="65"/>
  <c r="C21" i="65"/>
  <c r="C18" i="65"/>
  <c r="C16" i="65"/>
  <c r="C15" i="65"/>
  <c r="E16" i="65"/>
  <c r="E15" i="65"/>
  <c r="F13" i="64"/>
  <c r="F12" i="64"/>
  <c r="N13" i="64"/>
  <c r="N12" i="64"/>
  <c r="S16" i="64"/>
  <c r="K30" i="64"/>
  <c r="F27" i="64"/>
  <c r="F26" i="64"/>
  <c r="K16" i="64"/>
  <c r="C12" i="63"/>
  <c r="C9" i="63"/>
  <c r="D9" i="63"/>
  <c r="C10" i="63"/>
  <c r="G9" i="63"/>
  <c r="F9" i="63"/>
  <c r="E9" i="63"/>
</calcChain>
</file>

<file path=xl/sharedStrings.xml><?xml version="1.0" encoding="utf-8"?>
<sst xmlns="http://schemas.openxmlformats.org/spreadsheetml/2006/main" count="144" uniqueCount="104">
  <si>
    <t>x1</t>
  </si>
  <si>
    <t>x2</t>
  </si>
  <si>
    <t>&lt;=</t>
  </si>
  <si>
    <t>&gt;=</t>
  </si>
  <si>
    <t>used</t>
  </si>
  <si>
    <t>Total Z</t>
  </si>
  <si>
    <t>max : objective</t>
  </si>
  <si>
    <t>Cost</t>
  </si>
  <si>
    <t>Available</t>
  </si>
  <si>
    <t>b1</t>
  </si>
  <si>
    <t>b2</t>
  </si>
  <si>
    <t xml:space="preserve"> </t>
  </si>
  <si>
    <t>Ingredient</t>
  </si>
  <si>
    <t>Calories</t>
  </si>
  <si>
    <t>from fat</t>
  </si>
  <si>
    <t>(per tbsp)</t>
  </si>
  <si>
    <t>Total</t>
  </si>
  <si>
    <t>Vitamin</t>
  </si>
  <si>
    <t>Content</t>
  </si>
  <si>
    <t>(mg/tbsp)</t>
  </si>
  <si>
    <t>Thickeners</t>
  </si>
  <si>
    <t>(¢/tbsp)</t>
  </si>
  <si>
    <t>Strawberry flavoring</t>
  </si>
  <si>
    <t>Cream</t>
  </si>
  <si>
    <t>Vitamin supplement</t>
  </si>
  <si>
    <t>Artificial sweetener</t>
  </si>
  <si>
    <t>Thickening agent</t>
  </si>
  <si>
    <t>380 and 420 calories</t>
  </si>
  <si>
    <t>&lt; 20 caloris from fat</t>
  </si>
  <si>
    <t>50 milligrams (mg) of vitamin content</t>
  </si>
  <si>
    <t>least two tablespoons (tbsp) of strawberry flavoring for each tbsp of artificial sweetener</t>
  </si>
  <si>
    <t>15 mg of thickeners</t>
  </si>
  <si>
    <t>qty</t>
  </si>
  <si>
    <t>totals</t>
  </si>
  <si>
    <t>&gt; 380 and &lt; 420</t>
  </si>
  <si>
    <t>&gt; 50 mg</t>
  </si>
  <si>
    <t>eq 15mg</t>
  </si>
  <si>
    <t>min</t>
  </si>
  <si>
    <t>&lt;20%</t>
  </si>
  <si>
    <t>pct fat</t>
  </si>
  <si>
    <t>&gt;</t>
  </si>
  <si>
    <t>c2</t>
  </si>
  <si>
    <t>a21</t>
  </si>
  <si>
    <t>a22</t>
  </si>
  <si>
    <t>Initial solution</t>
  </si>
  <si>
    <t>Sen 2</t>
  </si>
  <si>
    <t>Sen 1</t>
  </si>
  <si>
    <t>a11</t>
  </si>
  <si>
    <t>a12</t>
  </si>
  <si>
    <t>c1</t>
  </si>
  <si>
    <t>lower</t>
  </si>
  <si>
    <t>upper</t>
  </si>
  <si>
    <t>mean</t>
  </si>
  <si>
    <t>objective</t>
  </si>
  <si>
    <t>variables</t>
  </si>
  <si>
    <t>const</t>
  </si>
  <si>
    <t>most cons model</t>
  </si>
  <si>
    <t>23)</t>
  </si>
  <si>
    <t>24)</t>
  </si>
  <si>
    <t>z</t>
  </si>
  <si>
    <t>using CP;</t>
  </si>
  <si>
    <t>range R = 1..5;</t>
  </si>
  <si>
    <t>// costs[i][j] is the Materials-handling cost data for XYZ Company i machine for location j</t>
  </si>
  <si>
    <t>float costs[R][R]       = [ [ 13,16,12,11,15],</t>
  </si>
  <si>
    <t>[ 15,13,20,15,14],</t>
  </si>
  <si>
    <t xml:space="preserve">[ 5,7,1999,15,14], </t>
  </si>
  <si>
    <t>[ 8,5,9,11,4],</t>
  </si>
  <si>
    <t>[ 0,0,0,0,0]];</t>
  </si>
  <si>
    <t>string location[R] = ["1","2","3","4","5"];</t>
  </si>
  <si>
    <t>string machine[R] = ["1","2","3","4","Empty"];</t>
  </si>
  <si>
    <t>dvar int assign[R] in R;</t>
  </si>
  <si>
    <t>minimize sum(k in R) costs[assign[k]][k];</t>
  </si>
  <si>
    <t>subject to {</t>
  </si>
  <si>
    <t>ct1:</t>
  </si>
  <si>
    <t xml:space="preserve">allDifferent(assign);  </t>
  </si>
  <si>
    <t>}</t>
  </si>
  <si>
    <t>execute{</t>
  </si>
  <si>
    <t xml:space="preserve">  for (var r in R) {</t>
  </si>
  <si>
    <t>writeln( machine[assign[r]],' in ',location[r],' with cost ',costs[assign[r]][r]);</t>
  </si>
  <si>
    <t xml:space="preserve">  }</t>
  </si>
  <si>
    <t>// solution with objective 33</t>
  </si>
  <si>
    <t>3 in 1 with cost 5</t>
  </si>
  <si>
    <t>2 in 2 with cost 13</t>
  </si>
  <si>
    <t>Empty in 3 with cost 0</t>
  </si>
  <si>
    <t>1 in 4 with cost 11</t>
  </si>
  <si>
    <t>4 in 5 with cost 4</t>
  </si>
  <si>
    <t>Cash Outflow Required ($million)</t>
  </si>
  <si>
    <t>Cash</t>
  </si>
  <si>
    <t>Project</t>
  </si>
  <si>
    <t>($million)</t>
  </si>
  <si>
    <t>Year 1</t>
  </si>
  <si>
    <t>Year 2</t>
  </si>
  <si>
    <t>Year 3</t>
  </si>
  <si>
    <t>Year 4</t>
  </si>
  <si>
    <t>NPV</t>
  </si>
  <si>
    <t>($mil)</t>
  </si>
  <si>
    <t>undertake</t>
  </si>
  <si>
    <t>Total NPV</t>
  </si>
  <si>
    <t>constraints</t>
  </si>
  <si>
    <t>1, 2, or 3</t>
  </si>
  <si>
    <t>6 or 7</t>
  </si>
  <si>
    <t>&lt;</t>
  </si>
  <si>
    <t xml:space="preserve">Z = maximize </t>
  </si>
  <si>
    <t>5 only if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</si>
</sst>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0"/>
      <name val="Geneva"/>
    </font>
    <font>
      <sz val="11"/>
      <color rgb="FF000000"/>
      <name val="Courier New"/>
      <family val="3"/>
    </font>
    <font>
      <sz val="8"/>
      <color rgb="FF353535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right"/>
    </xf>
    <xf numFmtId="1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left" vertical="center"/>
    </xf>
    <xf numFmtId="0" fontId="0" fillId="5" borderId="0" xfId="0" applyFill="1"/>
    <xf numFmtId="0" fontId="3" fillId="5" borderId="0" xfId="0" applyFont="1" applyFill="1" applyAlignment="1">
      <alignment vertical="center" wrapText="1"/>
    </xf>
    <xf numFmtId="0" fontId="3" fillId="5" borderId="0" xfId="0" applyFont="1" applyFill="1" applyBorder="1" applyAlignment="1">
      <alignment vertical="center" wrapText="1"/>
    </xf>
    <xf numFmtId="0" fontId="3" fillId="5" borderId="0" xfId="0" applyFont="1" applyFill="1" applyAlignment="1">
      <alignment vertical="center" wrapText="1"/>
    </xf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8</xdr:col>
      <xdr:colOff>228038</xdr:colOff>
      <xdr:row>37</xdr:row>
      <xdr:rowOff>84905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571500"/>
          <a:ext cx="4495238" cy="65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I31"/>
  <sheetViews>
    <sheetView tabSelected="1" workbookViewId="0">
      <selection activeCell="G23" sqref="G23"/>
    </sheetView>
  </sheetViews>
  <sheetFormatPr defaultRowHeight="15"/>
  <cols>
    <col min="2" max="2" width="22.140625" customWidth="1"/>
    <col min="3" max="3" width="12.7109375" customWidth="1"/>
  </cols>
  <sheetData>
    <row r="1" spans="2:8">
      <c r="C1" t="s">
        <v>13</v>
      </c>
      <c r="D1" t="s">
        <v>16</v>
      </c>
      <c r="E1" t="s">
        <v>17</v>
      </c>
    </row>
    <row r="2" spans="2:8">
      <c r="C2" t="s">
        <v>14</v>
      </c>
      <c r="D2" t="s">
        <v>13</v>
      </c>
      <c r="E2" t="s">
        <v>18</v>
      </c>
      <c r="F2" t="s">
        <v>20</v>
      </c>
      <c r="G2" t="s">
        <v>7</v>
      </c>
    </row>
    <row r="3" spans="2:8">
      <c r="B3" t="s">
        <v>12</v>
      </c>
      <c r="C3" t="s">
        <v>15</v>
      </c>
      <c r="D3" t="s">
        <v>15</v>
      </c>
      <c r="E3" t="s">
        <v>19</v>
      </c>
      <c r="F3" t="s">
        <v>19</v>
      </c>
      <c r="G3" t="s">
        <v>21</v>
      </c>
      <c r="H3" t="s">
        <v>32</v>
      </c>
    </row>
    <row r="4" spans="2:8">
      <c r="B4" t="s">
        <v>22</v>
      </c>
      <c r="C4">
        <v>1</v>
      </c>
      <c r="D4">
        <v>50</v>
      </c>
      <c r="E4">
        <v>20</v>
      </c>
      <c r="F4">
        <v>3</v>
      </c>
      <c r="G4">
        <v>10</v>
      </c>
      <c r="H4">
        <v>3.2083320164424305</v>
      </c>
    </row>
    <row r="5" spans="2:8">
      <c r="B5" t="s">
        <v>23</v>
      </c>
      <c r="C5">
        <v>75</v>
      </c>
      <c r="D5">
        <v>100</v>
      </c>
      <c r="E5">
        <v>0</v>
      </c>
      <c r="F5">
        <v>8</v>
      </c>
      <c r="G5">
        <v>8</v>
      </c>
      <c r="H5">
        <v>0.27083378486716175</v>
      </c>
    </row>
    <row r="6" spans="2:8">
      <c r="B6" t="s">
        <v>24</v>
      </c>
      <c r="C6">
        <v>0</v>
      </c>
      <c r="D6">
        <v>0</v>
      </c>
      <c r="E6">
        <v>50</v>
      </c>
      <c r="F6">
        <v>1</v>
      </c>
      <c r="G6">
        <v>25</v>
      </c>
      <c r="H6">
        <v>0</v>
      </c>
    </row>
    <row r="7" spans="2:8">
      <c r="B7" t="s">
        <v>25</v>
      </c>
      <c r="C7">
        <v>0</v>
      </c>
      <c r="D7">
        <v>120</v>
      </c>
      <c r="E7">
        <v>0</v>
      </c>
      <c r="F7">
        <v>2</v>
      </c>
      <c r="G7">
        <v>15</v>
      </c>
      <c r="H7">
        <v>1.6041668411288328</v>
      </c>
    </row>
    <row r="8" spans="2:8">
      <c r="B8" t="s">
        <v>26</v>
      </c>
      <c r="C8">
        <v>30</v>
      </c>
      <c r="D8">
        <v>80</v>
      </c>
      <c r="E8">
        <v>2</v>
      </c>
      <c r="F8">
        <v>25</v>
      </c>
      <c r="G8">
        <v>6</v>
      </c>
      <c r="H8">
        <v>0</v>
      </c>
    </row>
    <row r="9" spans="2:8">
      <c r="B9" s="5" t="s">
        <v>33</v>
      </c>
      <c r="C9">
        <f>$H$4*C4+$H$5*C5+$H$6*C6+$H$7*C7+$H$8*C8</f>
        <v>23.520865881479562</v>
      </c>
      <c r="D9">
        <f t="shared" ref="D9:G9" si="0">$H$4*D4+$H$5*D5+$H$6*D6+$H$7*D7+$H$8*D8</f>
        <v>380.00000024429767</v>
      </c>
      <c r="E9">
        <f t="shared" si="0"/>
        <v>64.166640328848615</v>
      </c>
      <c r="F9">
        <f t="shared" si="0"/>
        <v>15.000000010522252</v>
      </c>
      <c r="G9">
        <f t="shared" si="0"/>
        <v>58.312493060294095</v>
      </c>
    </row>
    <row r="10" spans="2:8">
      <c r="B10" s="5" t="s">
        <v>39</v>
      </c>
      <c r="C10">
        <f>C9/D9</f>
        <v>6.1897015437784912E-2</v>
      </c>
      <c r="D10" t="s">
        <v>34</v>
      </c>
      <c r="E10" t="s">
        <v>35</v>
      </c>
      <c r="F10" t="s">
        <v>36</v>
      </c>
      <c r="G10" t="s">
        <v>37</v>
      </c>
    </row>
    <row r="11" spans="2:8">
      <c r="C11" t="s">
        <v>38</v>
      </c>
    </row>
    <row r="12" spans="2:8">
      <c r="B12" t="s">
        <v>30</v>
      </c>
      <c r="C12">
        <f>H4/H7</f>
        <v>1.9999989615698366</v>
      </c>
      <c r="D12" t="s">
        <v>40</v>
      </c>
      <c r="E12">
        <v>2</v>
      </c>
    </row>
    <row r="14" spans="2:8">
      <c r="C14" t="s">
        <v>27</v>
      </c>
    </row>
    <row r="15" spans="2:8">
      <c r="C15" t="s">
        <v>28</v>
      </c>
    </row>
    <row r="16" spans="2:8">
      <c r="C16" t="s">
        <v>29</v>
      </c>
    </row>
    <row r="18" spans="3:9">
      <c r="C18" t="s">
        <v>31</v>
      </c>
    </row>
    <row r="25" spans="3:9">
      <c r="I25" t="s">
        <v>11</v>
      </c>
    </row>
    <row r="31" spans="3:9">
      <c r="I31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E6:S30"/>
  <sheetViews>
    <sheetView workbookViewId="0">
      <selection activeCell="F8" sqref="F8"/>
    </sheetView>
  </sheetViews>
  <sheetFormatPr defaultRowHeight="15"/>
  <sheetData>
    <row r="6" spans="5:19">
      <c r="E6" t="s">
        <v>46</v>
      </c>
      <c r="M6" t="s">
        <v>45</v>
      </c>
    </row>
    <row r="7" spans="5:19">
      <c r="F7" t="s">
        <v>0</v>
      </c>
      <c r="G7" t="s">
        <v>1</v>
      </c>
      <c r="H7" t="s">
        <v>41</v>
      </c>
      <c r="I7" t="s">
        <v>42</v>
      </c>
      <c r="J7" t="s">
        <v>43</v>
      </c>
      <c r="N7" t="s">
        <v>0</v>
      </c>
      <c r="O7" t="s">
        <v>1</v>
      </c>
      <c r="P7" t="s">
        <v>41</v>
      </c>
      <c r="Q7" t="s">
        <v>42</v>
      </c>
      <c r="R7" t="s">
        <v>43</v>
      </c>
    </row>
    <row r="8" spans="5:19">
      <c r="E8" t="s">
        <v>6</v>
      </c>
      <c r="F8" s="3">
        <v>6.6666666666666661</v>
      </c>
      <c r="G8" s="3">
        <v>9.5238095238095237</v>
      </c>
      <c r="H8" s="3">
        <v>30</v>
      </c>
      <c r="I8" s="3">
        <v>4</v>
      </c>
      <c r="J8" s="3">
        <v>7</v>
      </c>
      <c r="M8" t="s">
        <v>6</v>
      </c>
      <c r="N8" s="3">
        <v>6.6666666666666661</v>
      </c>
      <c r="O8" s="3">
        <v>13.333333333333334</v>
      </c>
      <c r="P8" s="3"/>
      <c r="Q8" s="3"/>
      <c r="R8" s="3"/>
    </row>
    <row r="9" spans="5:19">
      <c r="F9" s="3"/>
      <c r="G9" s="3"/>
      <c r="H9" s="3"/>
      <c r="I9" s="3"/>
      <c r="J9" s="3"/>
      <c r="N9" s="3"/>
      <c r="O9" s="3"/>
      <c r="P9" s="3">
        <v>10</v>
      </c>
      <c r="Q9" s="3">
        <v>1</v>
      </c>
      <c r="R9" s="3">
        <v>3</v>
      </c>
    </row>
    <row r="10" spans="5:19">
      <c r="I10" t="s">
        <v>4</v>
      </c>
      <c r="Q10" t="s">
        <v>4</v>
      </c>
    </row>
    <row r="12" spans="5:19">
      <c r="F12" s="2">
        <f>4*F8+I4*G8</f>
        <v>26.666666666666664</v>
      </c>
      <c r="G12" s="2"/>
      <c r="H12" s="2"/>
      <c r="I12" s="1"/>
      <c r="J12" t="s">
        <v>2</v>
      </c>
      <c r="K12" s="3">
        <v>60</v>
      </c>
      <c r="N12" s="2">
        <f>4*N8+Q9*O8</f>
        <v>40</v>
      </c>
      <c r="O12" s="2"/>
      <c r="P12" s="2"/>
      <c r="Q12" s="1"/>
      <c r="R12" t="s">
        <v>2</v>
      </c>
      <c r="S12" s="3">
        <v>60</v>
      </c>
    </row>
    <row r="13" spans="5:19">
      <c r="F13" s="2">
        <f>5*F8+J8*G8</f>
        <v>100</v>
      </c>
      <c r="G13" s="2"/>
      <c r="H13" s="2"/>
      <c r="I13" s="1"/>
      <c r="J13" t="s">
        <v>2</v>
      </c>
      <c r="K13" s="3">
        <v>100</v>
      </c>
      <c r="N13" s="2">
        <f>5*N8+R9*O8</f>
        <v>73.333333333333329</v>
      </c>
      <c r="O13" s="2"/>
      <c r="P13" s="2"/>
      <c r="Q13" s="1"/>
      <c r="R13" t="s">
        <v>2</v>
      </c>
      <c r="S13" s="3">
        <v>100</v>
      </c>
    </row>
    <row r="15" spans="5:19">
      <c r="K15" t="s">
        <v>5</v>
      </c>
      <c r="S15" t="s">
        <v>5</v>
      </c>
    </row>
    <row r="16" spans="5:19">
      <c r="F16" s="4"/>
      <c r="G16" s="4"/>
      <c r="H16" s="4"/>
      <c r="K16" s="4">
        <f>20*F8+0.5*H8*G8+0.5*H9*G8</f>
        <v>276.19047619047615</v>
      </c>
      <c r="N16" s="4"/>
      <c r="O16" s="4"/>
      <c r="P16" s="4"/>
      <c r="S16" s="4">
        <f>20*N8+0.5*P8*O8+0.5*P9*O8</f>
        <v>200</v>
      </c>
    </row>
    <row r="19" spans="5:11">
      <c r="F19" s="6"/>
    </row>
    <row r="20" spans="5:11">
      <c r="E20" t="s">
        <v>44</v>
      </c>
    </row>
    <row r="21" spans="5:11">
      <c r="F21" t="s">
        <v>0</v>
      </c>
      <c r="G21" t="s">
        <v>1</v>
      </c>
      <c r="H21" t="s">
        <v>41</v>
      </c>
      <c r="I21" t="s">
        <v>42</v>
      </c>
      <c r="J21" t="s">
        <v>43</v>
      </c>
    </row>
    <row r="22" spans="5:11">
      <c r="E22" t="s">
        <v>6</v>
      </c>
      <c r="F22" s="3">
        <v>6.6666666666666661</v>
      </c>
      <c r="G22" s="3">
        <v>13.333333333333334</v>
      </c>
      <c r="H22" s="3">
        <v>30</v>
      </c>
      <c r="I22" s="3">
        <v>4</v>
      </c>
      <c r="J22" s="3">
        <v>7</v>
      </c>
    </row>
    <row r="23" spans="5:11">
      <c r="F23" s="3"/>
      <c r="G23" s="3"/>
      <c r="H23" s="3">
        <v>10</v>
      </c>
      <c r="I23" s="3">
        <v>1</v>
      </c>
      <c r="J23" s="3">
        <v>3</v>
      </c>
    </row>
    <row r="24" spans="5:11">
      <c r="I24" t="s">
        <v>4</v>
      </c>
    </row>
    <row r="26" spans="5:11">
      <c r="F26" s="2">
        <f>4*F22+0.5*I22*G22+0.5*I23*G22</f>
        <v>59.999999999999993</v>
      </c>
      <c r="G26" s="2"/>
      <c r="H26" s="2"/>
      <c r="I26" s="1"/>
      <c r="J26" t="s">
        <v>2</v>
      </c>
      <c r="K26" s="3">
        <v>60</v>
      </c>
    </row>
    <row r="27" spans="5:11">
      <c r="F27" s="2">
        <f>5*F22+J22*0.5*G22+J23*0.5*G22</f>
        <v>100</v>
      </c>
      <c r="G27" s="2"/>
      <c r="H27" s="2"/>
      <c r="I27" s="1"/>
      <c r="J27" t="s">
        <v>2</v>
      </c>
      <c r="K27" s="3">
        <v>100</v>
      </c>
    </row>
    <row r="29" spans="5:11">
      <c r="K29" t="s">
        <v>5</v>
      </c>
    </row>
    <row r="30" spans="5:11">
      <c r="F30" s="4"/>
      <c r="G30" s="4"/>
      <c r="H30" s="4"/>
      <c r="K30" s="4">
        <f>20*F22+0.5*H22*G22+0.5*H23*G22</f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K23"/>
  <sheetViews>
    <sheetView workbookViewId="0">
      <selection activeCell="C23" sqref="C23"/>
    </sheetView>
  </sheetViews>
  <sheetFormatPr defaultRowHeight="15"/>
  <cols>
    <col min="2" max="2" width="5.5703125" customWidth="1"/>
    <col min="3" max="3" width="14.5703125" customWidth="1"/>
    <col min="4" max="4" width="12" bestFit="1" customWidth="1"/>
  </cols>
  <sheetData>
    <row r="2" spans="2:11">
      <c r="C2" t="s">
        <v>52</v>
      </c>
      <c r="D2" t="s">
        <v>50</v>
      </c>
      <c r="E2" t="s">
        <v>51</v>
      </c>
      <c r="F2" t="s">
        <v>56</v>
      </c>
    </row>
    <row r="3" spans="2:11">
      <c r="B3" t="s">
        <v>47</v>
      </c>
      <c r="C3" s="7">
        <v>30</v>
      </c>
      <c r="D3" s="7">
        <v>28</v>
      </c>
      <c r="E3" s="7">
        <v>32</v>
      </c>
      <c r="F3" s="7">
        <v>32</v>
      </c>
      <c r="K3" s="8"/>
    </row>
    <row r="4" spans="2:11">
      <c r="B4" t="s">
        <v>48</v>
      </c>
      <c r="C4" s="7">
        <v>50</v>
      </c>
      <c r="D4" s="7">
        <v>46</v>
      </c>
      <c r="E4" s="7">
        <v>55</v>
      </c>
      <c r="F4" s="7">
        <v>46</v>
      </c>
      <c r="K4" s="8"/>
    </row>
    <row r="5" spans="2:11">
      <c r="B5" t="s">
        <v>42</v>
      </c>
      <c r="C5" s="7">
        <v>-50</v>
      </c>
      <c r="D5" s="7">
        <v>-53</v>
      </c>
      <c r="E5" s="7">
        <v>-48</v>
      </c>
      <c r="F5" s="7">
        <v>-53</v>
      </c>
      <c r="K5" s="8"/>
    </row>
    <row r="6" spans="2:11">
      <c r="B6" t="s">
        <v>43</v>
      </c>
      <c r="C6" s="7">
        <v>-70</v>
      </c>
      <c r="D6" s="7">
        <v>-75</v>
      </c>
      <c r="E6" s="7">
        <v>-66</v>
      </c>
      <c r="F6" s="7">
        <v>-75</v>
      </c>
    </row>
    <row r="7" spans="2:11">
      <c r="B7" t="s">
        <v>9</v>
      </c>
      <c r="C7" s="7">
        <v>300</v>
      </c>
      <c r="D7" s="7">
        <v>275</v>
      </c>
      <c r="E7" s="7">
        <v>325</v>
      </c>
      <c r="F7" s="7">
        <v>275</v>
      </c>
    </row>
    <row r="8" spans="2:11">
      <c r="B8" t="s">
        <v>10</v>
      </c>
      <c r="C8" s="7">
        <v>-500</v>
      </c>
      <c r="D8" s="7">
        <v>-540</v>
      </c>
      <c r="E8" s="7">
        <v>-470</v>
      </c>
      <c r="F8" s="7">
        <v>-470</v>
      </c>
    </row>
    <row r="9" spans="2:11">
      <c r="B9" t="s">
        <v>49</v>
      </c>
      <c r="C9" s="7">
        <v>20</v>
      </c>
      <c r="D9" s="7">
        <v>18</v>
      </c>
      <c r="E9" s="7">
        <v>22</v>
      </c>
      <c r="F9" s="7">
        <v>18</v>
      </c>
    </row>
    <row r="10" spans="2:11">
      <c r="B10" t="s">
        <v>41</v>
      </c>
      <c r="C10" s="7">
        <v>30</v>
      </c>
      <c r="D10" s="7">
        <v>27</v>
      </c>
      <c r="E10" s="7">
        <v>33</v>
      </c>
      <c r="F10" s="7">
        <v>27</v>
      </c>
    </row>
    <row r="12" spans="2:11">
      <c r="B12" t="s">
        <v>54</v>
      </c>
      <c r="D12" t="s">
        <v>0</v>
      </c>
      <c r="E12" t="s">
        <v>1</v>
      </c>
    </row>
    <row r="13" spans="2:11">
      <c r="D13">
        <v>8.8679245287868582</v>
      </c>
      <c r="E13">
        <v>0</v>
      </c>
    </row>
    <row r="14" spans="2:11">
      <c r="B14" t="s">
        <v>55</v>
      </c>
    </row>
    <row r="15" spans="2:11">
      <c r="C15" s="7">
        <f>F3*D13+F4*E13</f>
        <v>283.77358492117946</v>
      </c>
      <c r="D15" t="s">
        <v>3</v>
      </c>
      <c r="E15" s="7">
        <f>F7</f>
        <v>275</v>
      </c>
    </row>
    <row r="16" spans="2:11">
      <c r="C16">
        <f>F5*D13+F6*E13</f>
        <v>-470.00000002570346</v>
      </c>
      <c r="D16" t="s">
        <v>2</v>
      </c>
      <c r="E16" s="7">
        <f>F8</f>
        <v>-470</v>
      </c>
    </row>
    <row r="17" spans="2:3">
      <c r="B17" t="s">
        <v>53</v>
      </c>
    </row>
    <row r="18" spans="2:3">
      <c r="C18">
        <f>F9*D13+E13*F10</f>
        <v>159.62264151816345</v>
      </c>
    </row>
    <row r="21" spans="2:3">
      <c r="B21" t="s">
        <v>57</v>
      </c>
      <c r="C21">
        <f>_xlfn.NORM.INV(0.05,300,12.5)</f>
        <v>279.43932966310661</v>
      </c>
    </row>
    <row r="23" spans="2:3">
      <c r="B23" t="s">
        <v>58</v>
      </c>
      <c r="C23">
        <f>0.95*0.95</f>
        <v>0.90249999999999997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2:L10"/>
  <sheetViews>
    <sheetView workbookViewId="0">
      <selection activeCell="J9" sqref="J9"/>
    </sheetView>
  </sheetViews>
  <sheetFormatPr defaultRowHeight="15"/>
  <sheetData>
    <row r="2" spans="10:12">
      <c r="J2" t="s">
        <v>0</v>
      </c>
      <c r="K2" t="s">
        <v>1</v>
      </c>
    </row>
    <row r="3" spans="10:12">
      <c r="J3">
        <v>3</v>
      </c>
      <c r="K3">
        <v>2</v>
      </c>
    </row>
    <row r="5" spans="10:12">
      <c r="J5" t="s">
        <v>59</v>
      </c>
    </row>
    <row r="6" spans="10:12">
      <c r="J6">
        <f>5*J3-K3</f>
        <v>13</v>
      </c>
    </row>
    <row r="8" spans="10:12">
      <c r="J8">
        <f>2*J3+3*K3</f>
        <v>12</v>
      </c>
      <c r="K8" t="s">
        <v>2</v>
      </c>
      <c r="L8">
        <v>12</v>
      </c>
    </row>
    <row r="9" spans="10:12">
      <c r="J9">
        <f>-2*J3+3*K3</f>
        <v>0</v>
      </c>
      <c r="K9" t="s">
        <v>3</v>
      </c>
      <c r="L9">
        <v>0</v>
      </c>
    </row>
    <row r="10" spans="10:12">
      <c r="J10">
        <f>-2*J3+K3</f>
        <v>-4</v>
      </c>
      <c r="K10" t="s">
        <v>2</v>
      </c>
      <c r="L10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34"/>
  <sheetViews>
    <sheetView topLeftCell="A43" workbookViewId="0">
      <selection activeCell="B29" sqref="B29:B34"/>
    </sheetView>
  </sheetViews>
  <sheetFormatPr defaultRowHeight="15"/>
  <sheetData>
    <row r="2" spans="2:9">
      <c r="B2" t="s">
        <v>60</v>
      </c>
    </row>
    <row r="4" spans="2:9">
      <c r="B4" t="s">
        <v>61</v>
      </c>
    </row>
    <row r="5" spans="2:9">
      <c r="B5" t="s">
        <v>62</v>
      </c>
    </row>
    <row r="6" spans="2:9">
      <c r="B6" t="s">
        <v>63</v>
      </c>
    </row>
    <row r="7" spans="2:9">
      <c r="I7" t="s">
        <v>64</v>
      </c>
    </row>
    <row r="8" spans="2:9">
      <c r="I8" t="s">
        <v>65</v>
      </c>
    </row>
    <row r="9" spans="2:9">
      <c r="I9" t="s">
        <v>66</v>
      </c>
    </row>
    <row r="10" spans="2:9">
      <c r="I10" t="s">
        <v>67</v>
      </c>
    </row>
    <row r="11" spans="2:9">
      <c r="B11" t="s">
        <v>68</v>
      </c>
    </row>
    <row r="12" spans="2:9">
      <c r="B12" t="s">
        <v>69</v>
      </c>
    </row>
    <row r="13" spans="2:9">
      <c r="B13" t="s">
        <v>70</v>
      </c>
    </row>
    <row r="15" spans="2:9">
      <c r="B15" t="s">
        <v>71</v>
      </c>
    </row>
    <row r="17" spans="2:4">
      <c r="B17" t="s">
        <v>72</v>
      </c>
    </row>
    <row r="18" spans="2:4">
      <c r="C18" t="s">
        <v>73</v>
      </c>
    </row>
    <row r="19" spans="2:4">
      <c r="D19" t="s">
        <v>74</v>
      </c>
    </row>
    <row r="20" spans="2:4">
      <c r="B20" t="s">
        <v>75</v>
      </c>
    </row>
    <row r="22" spans="2:4">
      <c r="B22" t="s">
        <v>76</v>
      </c>
    </row>
    <row r="23" spans="2:4">
      <c r="B23" t="s">
        <v>77</v>
      </c>
    </row>
    <row r="24" spans="2:4">
      <c r="B24" t="s">
        <v>11</v>
      </c>
      <c r="C24" t="s">
        <v>78</v>
      </c>
    </row>
    <row r="25" spans="2:4">
      <c r="B25" t="s">
        <v>79</v>
      </c>
    </row>
    <row r="26" spans="2:4">
      <c r="B26" t="s">
        <v>75</v>
      </c>
    </row>
    <row r="29" spans="2:4">
      <c r="B29" t="s">
        <v>80</v>
      </c>
    </row>
    <row r="30" spans="2:4">
      <c r="B30" t="s">
        <v>81</v>
      </c>
    </row>
    <row r="31" spans="2:4">
      <c r="B31" t="s">
        <v>82</v>
      </c>
    </row>
    <row r="32" spans="2:4">
      <c r="B32" t="s">
        <v>83</v>
      </c>
    </row>
    <row r="33" spans="2:2">
      <c r="B33" t="s">
        <v>84</v>
      </c>
    </row>
    <row r="34" spans="2:2">
      <c r="B34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M20"/>
  <sheetViews>
    <sheetView workbookViewId="0">
      <selection activeCell="G21" sqref="G21"/>
    </sheetView>
  </sheetViews>
  <sheetFormatPr defaultRowHeight="15"/>
  <sheetData>
    <row r="5" spans="3:13">
      <c r="C5" s="12" t="s">
        <v>86</v>
      </c>
      <c r="D5" s="12"/>
      <c r="E5" s="12"/>
      <c r="F5" s="12"/>
      <c r="G5" s="12"/>
      <c r="H5" s="12"/>
      <c r="I5" s="12"/>
      <c r="J5" s="12"/>
      <c r="K5" s="10" t="s">
        <v>87</v>
      </c>
      <c r="L5" s="9"/>
    </row>
    <row r="6" spans="3:13">
      <c r="C6" s="12" t="s">
        <v>88</v>
      </c>
      <c r="D6" s="12"/>
      <c r="E6" s="12"/>
      <c r="F6" s="12"/>
      <c r="G6" s="12"/>
      <c r="H6" s="12"/>
      <c r="I6" s="12"/>
      <c r="J6" s="12"/>
      <c r="K6" s="10" t="s">
        <v>8</v>
      </c>
      <c r="L6" s="9"/>
    </row>
    <row r="7" spans="3:13">
      <c r="C7" s="10"/>
      <c r="D7" s="10">
        <v>1</v>
      </c>
      <c r="E7" s="10">
        <v>2</v>
      </c>
      <c r="F7" s="10">
        <v>3</v>
      </c>
      <c r="G7" s="10">
        <v>4</v>
      </c>
      <c r="H7" s="10">
        <v>5</v>
      </c>
      <c r="I7" s="10">
        <v>6</v>
      </c>
      <c r="J7" s="10">
        <v>7</v>
      </c>
      <c r="K7" s="10">
        <v>8</v>
      </c>
      <c r="L7" s="10" t="s">
        <v>89</v>
      </c>
    </row>
    <row r="8" spans="3:13">
      <c r="C8" s="10" t="s">
        <v>90</v>
      </c>
      <c r="D8" s="10">
        <v>1</v>
      </c>
      <c r="E8" s="10">
        <v>3</v>
      </c>
      <c r="F8" s="10">
        <v>0</v>
      </c>
      <c r="G8" s="10">
        <v>3</v>
      </c>
      <c r="H8" s="10">
        <v>3</v>
      </c>
      <c r="I8" s="10">
        <v>7</v>
      </c>
      <c r="J8" s="10">
        <v>2</v>
      </c>
      <c r="K8" s="10">
        <v>5</v>
      </c>
      <c r="L8" s="10">
        <v>20</v>
      </c>
      <c r="M8">
        <f>SUMPRODUCT($D$16:$K$16,D8:K8)</f>
        <v>19</v>
      </c>
    </row>
    <row r="9" spans="3:13">
      <c r="C9" s="10" t="s">
        <v>91</v>
      </c>
      <c r="D9" s="10">
        <v>2</v>
      </c>
      <c r="E9" s="10">
        <v>2</v>
      </c>
      <c r="F9" s="10">
        <v>2</v>
      </c>
      <c r="G9" s="10">
        <v>2</v>
      </c>
      <c r="H9" s="10">
        <v>2</v>
      </c>
      <c r="I9" s="10">
        <v>3</v>
      </c>
      <c r="J9" s="10">
        <v>3</v>
      </c>
      <c r="K9" s="10">
        <v>4</v>
      </c>
      <c r="L9" s="10">
        <v>20</v>
      </c>
      <c r="M9">
        <f t="shared" ref="M9:M11" si="0">SUMPRODUCT($D$16:$K$16,D9:K9)</f>
        <v>15</v>
      </c>
    </row>
    <row r="10" spans="3:13">
      <c r="C10" s="10" t="s">
        <v>92</v>
      </c>
      <c r="D10" s="10">
        <v>2</v>
      </c>
      <c r="E10" s="10">
        <v>3</v>
      </c>
      <c r="F10" s="10">
        <v>4</v>
      </c>
      <c r="G10" s="10">
        <v>2</v>
      </c>
      <c r="H10" s="10">
        <v>3</v>
      </c>
      <c r="I10" s="10">
        <v>3</v>
      </c>
      <c r="J10" s="10">
        <v>6</v>
      </c>
      <c r="K10" s="10">
        <v>2</v>
      </c>
      <c r="L10" s="10">
        <v>20</v>
      </c>
      <c r="M10">
        <f t="shared" si="0"/>
        <v>16</v>
      </c>
    </row>
    <row r="11" spans="3:13">
      <c r="C11" s="10" t="s">
        <v>93</v>
      </c>
      <c r="D11" s="10">
        <v>2</v>
      </c>
      <c r="E11" s="10">
        <v>1</v>
      </c>
      <c r="F11" s="10">
        <v>0</v>
      </c>
      <c r="G11" s="10">
        <v>5</v>
      </c>
      <c r="H11" s="10">
        <v>4</v>
      </c>
      <c r="I11" s="10">
        <v>2</v>
      </c>
      <c r="J11" s="10">
        <v>1</v>
      </c>
      <c r="K11" s="10">
        <v>2</v>
      </c>
      <c r="L11" s="10">
        <v>20</v>
      </c>
      <c r="M11">
        <f t="shared" si="0"/>
        <v>15</v>
      </c>
    </row>
    <row r="12" spans="3:13">
      <c r="C12" s="10" t="s">
        <v>94</v>
      </c>
      <c r="D12" s="10">
        <v>10</v>
      </c>
      <c r="E12" s="10">
        <v>12</v>
      </c>
      <c r="F12" s="10">
        <v>11</v>
      </c>
      <c r="G12" s="10">
        <v>15</v>
      </c>
      <c r="H12" s="10">
        <v>24</v>
      </c>
      <c r="I12" s="10">
        <v>17</v>
      </c>
      <c r="J12" s="10">
        <v>16</v>
      </c>
      <c r="K12" s="10">
        <v>18</v>
      </c>
    </row>
    <row r="13" spans="3:13" ht="21">
      <c r="C13" s="10" t="s">
        <v>95</v>
      </c>
      <c r="D13" s="10"/>
      <c r="E13" s="10"/>
      <c r="F13" s="10"/>
      <c r="G13" s="10"/>
      <c r="H13" s="10"/>
      <c r="I13" s="10"/>
      <c r="J13" s="10"/>
      <c r="K13" s="10"/>
      <c r="L13" s="10" t="s">
        <v>102</v>
      </c>
    </row>
    <row r="14" spans="3:13">
      <c r="D14" s="10"/>
      <c r="E14" s="10"/>
      <c r="F14" s="10"/>
      <c r="G14" s="10"/>
      <c r="H14" s="10"/>
      <c r="I14" s="10"/>
      <c r="J14" s="10"/>
      <c r="K14" s="10"/>
      <c r="L14" t="s">
        <v>97</v>
      </c>
    </row>
    <row r="15" spans="3:13" ht="21">
      <c r="C15" s="10" t="s">
        <v>96</v>
      </c>
      <c r="D15" s="11">
        <v>1</v>
      </c>
      <c r="E15" s="11">
        <v>2</v>
      </c>
      <c r="F15" s="11">
        <v>3</v>
      </c>
      <c r="G15" s="11">
        <v>4</v>
      </c>
      <c r="H15" s="11">
        <v>5</v>
      </c>
      <c r="I15" s="11">
        <v>6</v>
      </c>
      <c r="J15" s="11">
        <v>7</v>
      </c>
      <c r="K15" s="11">
        <v>8</v>
      </c>
      <c r="L15">
        <f>SUMPRODUCT(D12:K12,D16:K16)</f>
        <v>95</v>
      </c>
    </row>
    <row r="16" spans="3:13">
      <c r="D16" s="11">
        <v>1</v>
      </c>
      <c r="E16" s="11">
        <v>0</v>
      </c>
      <c r="F16" s="11">
        <v>1</v>
      </c>
      <c r="G16" s="11">
        <v>1</v>
      </c>
      <c r="H16" s="11">
        <v>1</v>
      </c>
      <c r="I16" s="11">
        <v>1</v>
      </c>
      <c r="J16" s="11">
        <v>0</v>
      </c>
      <c r="K16" s="11">
        <v>1</v>
      </c>
    </row>
    <row r="17" spans="1:5">
      <c r="A17" t="s">
        <v>98</v>
      </c>
    </row>
    <row r="18" spans="1:5">
      <c r="A18" t="s">
        <v>99</v>
      </c>
      <c r="C18">
        <f>SUM(D16:F16)</f>
        <v>2</v>
      </c>
      <c r="D18" t="s">
        <v>3</v>
      </c>
      <c r="E18" s="11">
        <v>1</v>
      </c>
    </row>
    <row r="19" spans="1:5">
      <c r="A19" t="s">
        <v>100</v>
      </c>
      <c r="C19">
        <f>SUM(I16:J16)</f>
        <v>1</v>
      </c>
      <c r="D19" t="s">
        <v>101</v>
      </c>
      <c r="E19" s="11">
        <v>1</v>
      </c>
    </row>
    <row r="20" spans="1:5">
      <c r="A20" t="s">
        <v>103</v>
      </c>
      <c r="C20">
        <f>I16-H16</f>
        <v>0</v>
      </c>
      <c r="D20" t="s">
        <v>3</v>
      </c>
      <c r="E20" s="11">
        <v>0</v>
      </c>
    </row>
  </sheetData>
  <mergeCells count="2">
    <mergeCell ref="C5:J5"/>
    <mergeCell ref="C6:J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p1</vt:lpstr>
      <vt:lpstr>p2</vt:lpstr>
      <vt:lpstr>p4</vt:lpstr>
      <vt:lpstr>p5</vt:lpstr>
      <vt:lpstr>p6</vt:lpstr>
      <vt:lpstr>p7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Rick Lentz</cp:lastModifiedBy>
  <dcterms:created xsi:type="dcterms:W3CDTF">2016-10-08T23:32:52Z</dcterms:created>
  <dcterms:modified xsi:type="dcterms:W3CDTF">2017-10-23T04:01:21Z</dcterms:modified>
</cp:coreProperties>
</file>